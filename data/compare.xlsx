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60" windowHeight="121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<sst xmlns="http://schemas.openxmlformats.org/spreadsheetml/2006/main" count="86" uniqueCount="47">
  <si>
    <t>Chr</t>
  </si>
  <si>
    <t>Colest Gene</t>
  </si>
  <si>
    <t>Position</t>
  </si>
  <si>
    <t>MarkerName</t>
  </si>
  <si>
    <t>Other Allele</t>
  </si>
  <si>
    <t>Effect Allele</t>
  </si>
  <si>
    <t>beta in previous paper</t>
  </si>
  <si>
    <t>OR in previous paper</t>
  </si>
  <si>
    <t>SE in previous paper</t>
  </si>
  <si>
    <t>Meta_All</t>
  </si>
  <si>
    <t>Meta_EUR</t>
  </si>
  <si>
    <t>Meta_AFR</t>
  </si>
  <si>
    <t>Meta_EAS</t>
  </si>
  <si>
    <t>beta</t>
  </si>
  <si>
    <t>OR</t>
  </si>
  <si>
    <t>Effect Allele Freq</t>
  </si>
  <si>
    <t>se</t>
  </si>
  <si>
    <t>P-value</t>
  </si>
  <si>
    <t>TNFSF4</t>
  </si>
  <si>
    <t>rs10158467</t>
  </si>
  <si>
    <t>G</t>
  </si>
  <si>
    <t>A</t>
  </si>
  <si>
    <t>DENND1B</t>
  </si>
  <si>
    <t>rs12131588</t>
  </si>
  <si>
    <t>CD207</t>
  </si>
  <si>
    <t>rs3815556</t>
  </si>
  <si>
    <t>TRB</t>
  </si>
  <si>
    <t>rs7458379</t>
  </si>
  <si>
    <t>C</t>
  </si>
  <si>
    <t>T</t>
  </si>
  <si>
    <t>ZNF365</t>
  </si>
  <si>
    <t>rs10995245</t>
  </si>
  <si>
    <t>CTSC</t>
  </si>
  <si>
    <t>rs7112455</t>
  </si>
  <si>
    <t>ISZF4-ERBB3</t>
  </si>
  <si>
    <t>rs11171731</t>
  </si>
  <si>
    <t>TRA</t>
  </si>
  <si>
    <t>rs1154155</t>
  </si>
  <si>
    <t>CTSH</t>
  </si>
  <si>
    <t>rs34593439</t>
  </si>
  <si>
    <t>SIRPG</t>
  </si>
  <si>
    <t>rs6034239</t>
  </si>
  <si>
    <t>IFNAR1</t>
  </si>
  <si>
    <t>rs2096464</t>
  </si>
  <si>
    <t>PRF1</t>
  </si>
  <si>
    <t>rs78325861</t>
  </si>
  <si>
    <t>\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</si>
</sst>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rgb="FF0070C0"/>
      <name val="宋体"/>
      <charset val="134"/>
      <scheme val="minor"/>
    </font>
    <font>
      <sz val="12"/>
      <color rgb="FF0070C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3" fillId="0" borderId="2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30" applyNumberFormat="0" applyAlignment="0" applyProtection="0">
      <alignment vertical="center"/>
    </xf>
    <xf numFmtId="0" fontId="15" fillId="4" borderId="31" applyNumberFormat="0" applyAlignment="0" applyProtection="0">
      <alignment vertical="center"/>
    </xf>
    <xf numFmtId="0" fontId="16" fillId="4" borderId="30" applyNumberFormat="0" applyAlignment="0" applyProtection="0">
      <alignment vertical="center"/>
    </xf>
    <xf numFmtId="0" fontId="17" fillId="5" borderId="32" applyNumberFormat="0" applyAlignment="0" applyProtection="0">
      <alignment vertical="center"/>
    </xf>
    <xf numFmtId="0" fontId="18" fillId="0" borderId="33" applyNumberFormat="0" applyFill="0" applyAlignment="0" applyProtection="0">
      <alignment vertical="center"/>
    </xf>
    <xf numFmtId="0" fontId="19" fillId="0" borderId="34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 wrapText="1"/>
    </xf>
    <xf numFmtId="0" fontId="5" fillId="0" borderId="19" xfId="0" applyFont="1" applyFill="1" applyBorder="1" applyAlignment="1">
      <alignment horizontal="center" vertical="center"/>
    </xf>
    <xf numFmtId="0" fontId="3" fillId="0" borderId="20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/>
    </xf>
    <xf numFmtId="0" fontId="3" fillId="0" borderId="22" xfId="0" applyFont="1" applyFill="1" applyBorder="1" applyAlignment="1">
      <alignment horizontal="center" vertical="center"/>
    </xf>
    <xf numFmtId="0" fontId="3" fillId="0" borderId="23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0" fontId="2" fillId="0" borderId="26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/>
    </xf>
    <xf numFmtId="11" fontId="3" fillId="0" borderId="21" xfId="0" applyNumberFormat="1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4"/>
  <sheetViews>
    <sheetView tabSelected="1" zoomScale="88" zoomScaleNormal="88" workbookViewId="0">
      <pane xSplit="9" ySplit="13" topLeftCell="W14" activePane="bottomRight" state="frozen"/>
      <selection/>
      <selection pane="topRight"/>
      <selection pane="bottomLeft"/>
      <selection pane="bottomRight" activeCell="AE20" sqref="AE20"/>
    </sheetView>
  </sheetViews>
  <sheetFormatPr defaultColWidth="9.23076923076923" defaultRowHeight="16.8"/>
  <cols>
    <col min="2" max="2" width="13.1634615384615" style="2" customWidth="1"/>
    <col min="3" max="3" width="11.4615384615385"/>
    <col min="4" max="4" width="13.8461538461538" style="2" customWidth="1"/>
    <col min="5" max="5" width="9.23076923076923" style="2"/>
    <col min="7" max="7" width="12.2211538461538" customWidth="1"/>
    <col min="8" max="8" width="13.9807692307692" customWidth="1"/>
    <col min="9" max="9" width="12.625" style="3" customWidth="1"/>
    <col min="11" max="11" width="13.8461538461538"/>
    <col min="14" max="14" width="11.4615384615385"/>
    <col min="16" max="16" width="13.8461538461538"/>
    <col min="18" max="18" width="10.3076923076923"/>
    <col min="20" max="20" width="13.8461538461538"/>
    <col min="24" max="24" width="13.8461538461538"/>
    <col min="26" max="26" width="10.3076923076923"/>
  </cols>
  <sheetData>
    <row r="1" s="1" customFormat="1" ht="17.6" spans="1:26">
      <c r="A1" s="4" t="s">
        <v>0</v>
      </c>
      <c r="B1" s="5" t="s">
        <v>1</v>
      </c>
      <c r="C1" s="6" t="s">
        <v>2</v>
      </c>
      <c r="D1" s="7" t="s">
        <v>3</v>
      </c>
      <c r="E1" s="21" t="s">
        <v>4</v>
      </c>
      <c r="F1" s="7" t="s">
        <v>5</v>
      </c>
      <c r="G1" s="22" t="s">
        <v>6</v>
      </c>
      <c r="H1" s="23" t="s">
        <v>7</v>
      </c>
      <c r="I1" s="36" t="s">
        <v>8</v>
      </c>
      <c r="J1" s="37" t="s">
        <v>9</v>
      </c>
      <c r="K1" s="37"/>
      <c r="L1" s="37"/>
      <c r="M1" s="37"/>
      <c r="N1" s="51"/>
      <c r="O1" s="4" t="s">
        <v>10</v>
      </c>
      <c r="P1" s="51"/>
      <c r="Q1" s="6"/>
      <c r="R1" s="59"/>
      <c r="S1" s="4" t="s">
        <v>11</v>
      </c>
      <c r="T1" s="51"/>
      <c r="U1" s="6"/>
      <c r="V1" s="59"/>
      <c r="W1" s="4" t="s">
        <v>12</v>
      </c>
      <c r="X1" s="51"/>
      <c r="Y1" s="6"/>
      <c r="Z1" s="59"/>
    </row>
    <row r="2" s="1" customFormat="1" ht="53.75" spans="1:26">
      <c r="A2" s="8"/>
      <c r="B2" s="9"/>
      <c r="C2" s="10"/>
      <c r="D2" s="11"/>
      <c r="E2" s="24"/>
      <c r="F2" s="11"/>
      <c r="G2" s="25"/>
      <c r="H2" s="26"/>
      <c r="I2" s="38"/>
      <c r="J2" s="39" t="s">
        <v>13</v>
      </c>
      <c r="K2" s="40" t="s">
        <v>14</v>
      </c>
      <c r="L2" s="41" t="s">
        <v>15</v>
      </c>
      <c r="M2" s="52" t="s">
        <v>16</v>
      </c>
      <c r="N2" s="40" t="s">
        <v>17</v>
      </c>
      <c r="O2" s="8" t="s">
        <v>13</v>
      </c>
      <c r="P2" s="53" t="s">
        <v>14</v>
      </c>
      <c r="Q2" s="10" t="s">
        <v>16</v>
      </c>
      <c r="R2" s="60" t="s">
        <v>17</v>
      </c>
      <c r="S2" s="8" t="s">
        <v>13</v>
      </c>
      <c r="T2" s="53" t="s">
        <v>14</v>
      </c>
      <c r="U2" s="10" t="s">
        <v>16</v>
      </c>
      <c r="V2" s="60" t="s">
        <v>17</v>
      </c>
      <c r="W2" s="8" t="s">
        <v>13</v>
      </c>
      <c r="X2" s="53" t="s">
        <v>14</v>
      </c>
      <c r="Y2" s="10" t="s">
        <v>16</v>
      </c>
      <c r="Z2" s="60" t="s">
        <v>17</v>
      </c>
    </row>
    <row r="3" ht="18" spans="1:26">
      <c r="A3" s="12">
        <v>1</v>
      </c>
      <c r="B3" s="13" t="s">
        <v>18</v>
      </c>
      <c r="C3" s="14">
        <v>173162354</v>
      </c>
      <c r="D3" s="13" t="s">
        <v>19</v>
      </c>
      <c r="E3" s="13" t="s">
        <v>20</v>
      </c>
      <c r="F3" s="27" t="s">
        <v>21</v>
      </c>
      <c r="G3" s="28">
        <v>-0.159</v>
      </c>
      <c r="H3" s="29">
        <f>EXP(G3)</f>
        <v>0.852996358969132</v>
      </c>
      <c r="I3" s="42">
        <v>0.029</v>
      </c>
      <c r="J3" s="43">
        <v>-0.1382</v>
      </c>
      <c r="K3" s="44">
        <f>EXP(J3)</f>
        <v>0.870924489428262</v>
      </c>
      <c r="L3" s="43">
        <v>0.6518</v>
      </c>
      <c r="M3" s="44">
        <v>0.0597</v>
      </c>
      <c r="N3" s="54">
        <v>0.02055</v>
      </c>
      <c r="O3" s="55">
        <v>-0.1271</v>
      </c>
      <c r="P3" s="43">
        <f>EXP(O3)</f>
        <v>0.880645603633419</v>
      </c>
      <c r="Q3" s="44">
        <v>0.063</v>
      </c>
      <c r="R3" s="54">
        <v>0.04374</v>
      </c>
      <c r="S3" s="55">
        <v>-0.2758</v>
      </c>
      <c r="T3" s="43">
        <f>EXP(S3)</f>
        <v>0.758964708524664</v>
      </c>
      <c r="U3" s="44">
        <v>0.2503</v>
      </c>
      <c r="V3" s="54">
        <v>0.2705</v>
      </c>
      <c r="W3" s="55">
        <v>-0.182</v>
      </c>
      <c r="X3" s="43">
        <f>EXP(W3)</f>
        <v>0.833601340415735</v>
      </c>
      <c r="Y3" s="44">
        <v>0.2736</v>
      </c>
      <c r="Z3" s="54">
        <v>0.5059</v>
      </c>
    </row>
    <row r="4" ht="19" customHeight="1" spans="1:26">
      <c r="A4" s="15">
        <v>1</v>
      </c>
      <c r="B4" s="16" t="s">
        <v>22</v>
      </c>
      <c r="C4" s="17">
        <v>197696981</v>
      </c>
      <c r="D4" s="16" t="s">
        <v>23</v>
      </c>
      <c r="E4" s="16" t="s">
        <v>20</v>
      </c>
      <c r="F4" s="30" t="s">
        <v>21</v>
      </c>
      <c r="G4" s="31">
        <v>0.17</v>
      </c>
      <c r="H4" s="32">
        <f>EXP(G4)</f>
        <v>1.18530485132037</v>
      </c>
      <c r="I4" s="45">
        <v>0.029</v>
      </c>
      <c r="J4" s="46">
        <v>0.1722</v>
      </c>
      <c r="K4" s="17">
        <f>EXP(J4)</f>
        <v>1.18791539253569</v>
      </c>
      <c r="L4" s="46">
        <v>0.2178</v>
      </c>
      <c r="M4" s="17">
        <v>0.0646</v>
      </c>
      <c r="N4" s="56">
        <v>0.00771</v>
      </c>
      <c r="O4" s="15">
        <v>0.1678</v>
      </c>
      <c r="P4" s="47">
        <f>EXP(O4)</f>
        <v>1.18270004698284</v>
      </c>
      <c r="Q4" s="17">
        <v>0.0699</v>
      </c>
      <c r="R4" s="56">
        <v>0.01641</v>
      </c>
      <c r="S4" s="15">
        <v>0.1704</v>
      </c>
      <c r="T4" s="47">
        <f>EXP(S4)</f>
        <v>1.18577906809793</v>
      </c>
      <c r="U4" s="17">
        <v>0.3145</v>
      </c>
      <c r="V4" s="56">
        <v>0.5879</v>
      </c>
      <c r="W4" s="15">
        <v>0.2085</v>
      </c>
      <c r="X4" s="47">
        <f>EXP(W4)</f>
        <v>1.23182893006094</v>
      </c>
      <c r="Y4" s="17">
        <v>0.2002</v>
      </c>
      <c r="Z4" s="56">
        <v>0.2977</v>
      </c>
    </row>
    <row r="5" ht="18" spans="1:26">
      <c r="A5" s="15">
        <v>2</v>
      </c>
      <c r="B5" s="16" t="s">
        <v>24</v>
      </c>
      <c r="C5" s="17">
        <v>70832022</v>
      </c>
      <c r="D5" s="16" t="s">
        <v>25</v>
      </c>
      <c r="E5" s="16" t="s">
        <v>20</v>
      </c>
      <c r="F5" s="30" t="s">
        <v>21</v>
      </c>
      <c r="G5" s="31">
        <v>-0.248</v>
      </c>
      <c r="H5" s="32">
        <f>EXP(G5)</f>
        <v>0.780359943278034</v>
      </c>
      <c r="I5" s="45">
        <v>0.039</v>
      </c>
      <c r="J5" s="46">
        <v>-0.2698</v>
      </c>
      <c r="K5" s="17">
        <f>EXP(J5)</f>
        <v>0.763532185504328</v>
      </c>
      <c r="L5" s="46">
        <v>0.8968</v>
      </c>
      <c r="M5" s="17">
        <v>0.0979</v>
      </c>
      <c r="N5" s="56">
        <v>0.005845</v>
      </c>
      <c r="O5" s="15">
        <v>-0.1773</v>
      </c>
      <c r="P5" s="47">
        <f>EXP(O5)</f>
        <v>0.837528488283958</v>
      </c>
      <c r="Q5" s="17">
        <v>0.1285</v>
      </c>
      <c r="R5" s="56">
        <v>0.1675</v>
      </c>
      <c r="S5" s="15">
        <v>-0.1493</v>
      </c>
      <c r="T5" s="47">
        <f>EXP(S5)</f>
        <v>0.861310682931222</v>
      </c>
      <c r="U5" s="17">
        <v>0.1982</v>
      </c>
      <c r="V5" s="56">
        <v>0.4514</v>
      </c>
      <c r="W5" s="15">
        <v>-0.7435</v>
      </c>
      <c r="X5" s="47">
        <f>EXP(W5)</f>
        <v>0.475446935733048</v>
      </c>
      <c r="Y5" s="17">
        <v>0.2337</v>
      </c>
      <c r="Z5" s="56">
        <v>0.001466</v>
      </c>
    </row>
    <row r="6" ht="18" spans="1:26">
      <c r="A6" s="15">
        <v>7</v>
      </c>
      <c r="B6" s="16" t="s">
        <v>26</v>
      </c>
      <c r="C6" s="17">
        <v>142338339</v>
      </c>
      <c r="D6" s="16" t="s">
        <v>27</v>
      </c>
      <c r="E6" s="16" t="s">
        <v>28</v>
      </c>
      <c r="F6" s="30" t="s">
        <v>29</v>
      </c>
      <c r="G6" s="31">
        <v>0.155</v>
      </c>
      <c r="H6" s="32">
        <f t="shared" ref="H6:H14" si="0">EXP(G6)</f>
        <v>1.16765796110512</v>
      </c>
      <c r="I6" s="45">
        <v>0.023</v>
      </c>
      <c r="J6" s="46">
        <v>0.1665</v>
      </c>
      <c r="K6" s="47">
        <f t="shared" ref="K6:K14" si="1">EXP(J6)</f>
        <v>1.18116353587037</v>
      </c>
      <c r="L6" s="17">
        <v>0.3261</v>
      </c>
      <c r="M6" s="17">
        <v>0.0642</v>
      </c>
      <c r="N6" s="56">
        <v>0.009526</v>
      </c>
      <c r="O6" s="15">
        <v>0.1819</v>
      </c>
      <c r="P6" s="47">
        <f t="shared" ref="P6:P14" si="2">EXP(O6)</f>
        <v>1.19949423845835</v>
      </c>
      <c r="Q6" s="17">
        <v>0.0696</v>
      </c>
      <c r="R6" s="56">
        <v>0.008972</v>
      </c>
      <c r="S6" s="15">
        <v>0.0823</v>
      </c>
      <c r="T6" s="47">
        <f t="shared" ref="T6:T13" si="3">EXP(S6)</f>
        <v>1.08578149542289</v>
      </c>
      <c r="U6" s="17">
        <v>0.7742</v>
      </c>
      <c r="V6" s="56">
        <v>0.9153</v>
      </c>
      <c r="W6" s="15">
        <v>0.0783</v>
      </c>
      <c r="X6" s="47">
        <f t="shared" ref="X6:X13" si="4">EXP(W6)</f>
        <v>1.08144704412307</v>
      </c>
      <c r="Y6" s="17">
        <v>0.1703</v>
      </c>
      <c r="Z6" s="56">
        <v>0.6457</v>
      </c>
    </row>
    <row r="7" ht="18" spans="1:26">
      <c r="A7" s="15">
        <v>10</v>
      </c>
      <c r="B7" s="16" t="s">
        <v>30</v>
      </c>
      <c r="C7" s="17">
        <v>62631615</v>
      </c>
      <c r="D7" s="16" t="s">
        <v>31</v>
      </c>
      <c r="E7" s="16" t="s">
        <v>20</v>
      </c>
      <c r="F7" s="30" t="s">
        <v>21</v>
      </c>
      <c r="G7" s="31">
        <v>0.148</v>
      </c>
      <c r="H7" s="32">
        <f t="shared" si="0"/>
        <v>1.15951289636297</v>
      </c>
      <c r="I7" s="45">
        <v>0.021</v>
      </c>
      <c r="J7" s="46">
        <v>0.1861</v>
      </c>
      <c r="K7" s="47">
        <f t="shared" si="1"/>
        <v>1.20454270862598</v>
      </c>
      <c r="L7" s="17">
        <v>0.3763</v>
      </c>
      <c r="M7" s="17">
        <v>0.0554</v>
      </c>
      <c r="N7" s="56">
        <v>0.0007835</v>
      </c>
      <c r="O7" s="15">
        <v>0.2154</v>
      </c>
      <c r="P7" s="47">
        <f t="shared" si="2"/>
        <v>1.24035794092703</v>
      </c>
      <c r="Q7" s="17">
        <v>0.0617</v>
      </c>
      <c r="R7" s="56">
        <v>0.000486</v>
      </c>
      <c r="S7" s="15">
        <v>-0.0566</v>
      </c>
      <c r="T7" s="47">
        <f t="shared" si="3"/>
        <v>0.944971982571872</v>
      </c>
      <c r="U7" s="17">
        <v>0.1819</v>
      </c>
      <c r="V7" s="56">
        <v>0.7558</v>
      </c>
      <c r="W7" s="15">
        <v>0.1754</v>
      </c>
      <c r="X7" s="47">
        <f t="shared" si="4"/>
        <v>1.19172281041141</v>
      </c>
      <c r="Y7" s="17">
        <v>0.1734</v>
      </c>
      <c r="Z7" s="56">
        <v>0.3119</v>
      </c>
    </row>
    <row r="8" ht="18" spans="1:26">
      <c r="A8" s="15">
        <v>11</v>
      </c>
      <c r="B8" s="16" t="s">
        <v>32</v>
      </c>
      <c r="C8" s="17">
        <v>88318125</v>
      </c>
      <c r="D8" s="16" t="s">
        <v>33</v>
      </c>
      <c r="E8" s="16" t="s">
        <v>29</v>
      </c>
      <c r="F8" s="30" t="s">
        <v>21</v>
      </c>
      <c r="G8" s="31">
        <v>0.244</v>
      </c>
      <c r="H8" s="32">
        <f t="shared" si="0"/>
        <v>1.27634433048945</v>
      </c>
      <c r="I8" s="45">
        <v>0.042</v>
      </c>
      <c r="J8" s="46">
        <v>0.3505</v>
      </c>
      <c r="K8" s="47">
        <f t="shared" si="1"/>
        <v>1.41977725978057</v>
      </c>
      <c r="L8" s="17">
        <v>0.0666</v>
      </c>
      <c r="M8" s="17">
        <v>0.1481</v>
      </c>
      <c r="N8" s="57">
        <v>0.01796</v>
      </c>
      <c r="O8" s="15">
        <v>0.314</v>
      </c>
      <c r="P8" s="47">
        <f t="shared" si="2"/>
        <v>1.36888973654738</v>
      </c>
      <c r="Q8" s="17">
        <v>0.2056</v>
      </c>
      <c r="R8" s="56">
        <v>0.1267</v>
      </c>
      <c r="S8" s="15">
        <v>-0.2728</v>
      </c>
      <c r="T8" s="47">
        <f t="shared" si="3"/>
        <v>0.761245021409331</v>
      </c>
      <c r="U8" s="17">
        <v>0.485</v>
      </c>
      <c r="V8" s="56">
        <v>0.5738</v>
      </c>
      <c r="W8" s="15">
        <v>0.5489</v>
      </c>
      <c r="X8" s="47">
        <f t="shared" si="4"/>
        <v>1.73134748778143</v>
      </c>
      <c r="Y8" s="17">
        <v>0.2377</v>
      </c>
      <c r="Z8" s="56">
        <v>0.02094</v>
      </c>
    </row>
    <row r="9" ht="36" spans="1:26">
      <c r="A9" s="15">
        <v>12</v>
      </c>
      <c r="B9" s="16" t="s">
        <v>34</v>
      </c>
      <c r="C9" s="17">
        <v>56049558</v>
      </c>
      <c r="D9" s="16" t="s">
        <v>35</v>
      </c>
      <c r="E9" s="16" t="s">
        <v>28</v>
      </c>
      <c r="F9" s="30" t="s">
        <v>29</v>
      </c>
      <c r="G9" s="31">
        <v>0.147</v>
      </c>
      <c r="H9" s="32">
        <f t="shared" si="0"/>
        <v>1.15835396302986</v>
      </c>
      <c r="I9" s="45">
        <v>0.025</v>
      </c>
      <c r="J9" s="46">
        <v>0.2237</v>
      </c>
      <c r="K9" s="47">
        <f t="shared" si="1"/>
        <v>1.2506957544151</v>
      </c>
      <c r="L9" s="17">
        <v>0.4471</v>
      </c>
      <c r="M9" s="17">
        <v>0.0569</v>
      </c>
      <c r="N9" s="57">
        <v>8.528e-5</v>
      </c>
      <c r="O9" s="15">
        <v>0.2386</v>
      </c>
      <c r="P9" s="47">
        <f t="shared" si="2"/>
        <v>1.26947064675394</v>
      </c>
      <c r="Q9" s="17">
        <v>0.0612</v>
      </c>
      <c r="R9" s="57">
        <v>9.606e-5</v>
      </c>
      <c r="S9" s="15">
        <v>0.1639</v>
      </c>
      <c r="T9" s="47">
        <f t="shared" si="3"/>
        <v>1.17809649955209</v>
      </c>
      <c r="U9" s="17">
        <v>0.7315</v>
      </c>
      <c r="V9" s="56">
        <v>0.8227</v>
      </c>
      <c r="W9" s="15">
        <v>0.1256</v>
      </c>
      <c r="X9" s="47">
        <f t="shared" si="4"/>
        <v>1.13382854614619</v>
      </c>
      <c r="Y9" s="17">
        <v>0.1598</v>
      </c>
      <c r="Z9" s="56">
        <v>0.4319</v>
      </c>
    </row>
    <row r="10" ht="18" spans="1:26">
      <c r="A10" s="15">
        <v>14</v>
      </c>
      <c r="B10" s="16" t="s">
        <v>36</v>
      </c>
      <c r="C10" s="17">
        <v>22533736</v>
      </c>
      <c r="D10" s="16" t="s">
        <v>37</v>
      </c>
      <c r="E10" s="16" t="s">
        <v>20</v>
      </c>
      <c r="F10" s="30" t="s">
        <v>29</v>
      </c>
      <c r="G10" s="31">
        <v>-0.463</v>
      </c>
      <c r="H10" s="32">
        <f t="shared" si="0"/>
        <v>0.629392632508163</v>
      </c>
      <c r="I10" s="45">
        <v>0.025</v>
      </c>
      <c r="J10" s="46">
        <v>-0.3642</v>
      </c>
      <c r="K10" s="47">
        <f t="shared" si="1"/>
        <v>0.694752230400859</v>
      </c>
      <c r="L10" s="17">
        <v>0.7908</v>
      </c>
      <c r="M10" s="17">
        <v>0.0659</v>
      </c>
      <c r="N10" s="57">
        <v>3.223e-8</v>
      </c>
      <c r="O10" s="15">
        <v>-0.3841</v>
      </c>
      <c r="P10" s="47">
        <f t="shared" si="2"/>
        <v>0.681063317442373</v>
      </c>
      <c r="Q10" s="17">
        <v>0.0728</v>
      </c>
      <c r="R10" s="57">
        <v>1.327e-7</v>
      </c>
      <c r="S10" s="15">
        <v>-0.3592</v>
      </c>
      <c r="T10" s="47">
        <f t="shared" si="3"/>
        <v>0.698234690447859</v>
      </c>
      <c r="U10" s="17">
        <v>0.382</v>
      </c>
      <c r="V10" s="56">
        <v>0.3471</v>
      </c>
      <c r="W10" s="15">
        <v>-0.2579</v>
      </c>
      <c r="X10" s="47">
        <f t="shared" si="4"/>
        <v>0.772672495493244</v>
      </c>
      <c r="Y10" s="17">
        <v>0.1689</v>
      </c>
      <c r="Z10" s="56">
        <v>0.1269</v>
      </c>
    </row>
    <row r="11" ht="18" spans="1:26">
      <c r="A11" s="15">
        <v>15</v>
      </c>
      <c r="B11" s="16" t="s">
        <v>38</v>
      </c>
      <c r="C11" s="17">
        <v>78942615</v>
      </c>
      <c r="D11" s="16" t="s">
        <v>39</v>
      </c>
      <c r="E11" s="16" t="s">
        <v>20</v>
      </c>
      <c r="F11" s="30" t="s">
        <v>21</v>
      </c>
      <c r="G11" s="31">
        <v>0.215</v>
      </c>
      <c r="H11" s="32">
        <f t="shared" si="0"/>
        <v>1.23986189696606</v>
      </c>
      <c r="I11" s="45">
        <v>0.036</v>
      </c>
      <c r="J11" s="46">
        <v>0.2095</v>
      </c>
      <c r="K11" s="47">
        <f t="shared" si="1"/>
        <v>1.23306137511082</v>
      </c>
      <c r="L11" s="17">
        <v>0.1051</v>
      </c>
      <c r="M11" s="17">
        <v>0.0849</v>
      </c>
      <c r="N11" s="57">
        <v>0.01365</v>
      </c>
      <c r="O11" s="15">
        <v>0.2394</v>
      </c>
      <c r="P11" s="47">
        <f t="shared" si="2"/>
        <v>1.2704866296103</v>
      </c>
      <c r="Q11" s="17">
        <v>0.0921</v>
      </c>
      <c r="R11" s="56">
        <v>0.009321</v>
      </c>
      <c r="S11" s="15">
        <v>-0.0972</v>
      </c>
      <c r="T11" s="47">
        <f t="shared" si="3"/>
        <v>0.907374513081956</v>
      </c>
      <c r="U11" s="17">
        <v>0.2832</v>
      </c>
      <c r="V11" s="56">
        <v>0.7315</v>
      </c>
      <c r="W11" s="15">
        <v>0.2455</v>
      </c>
      <c r="X11" s="47">
        <f t="shared" si="4"/>
        <v>1.27826028359077</v>
      </c>
      <c r="Y11" s="17">
        <v>0.3493</v>
      </c>
      <c r="Z11" s="56">
        <v>0.4821</v>
      </c>
    </row>
    <row r="12" ht="18" spans="1:26">
      <c r="A12" s="15">
        <v>20</v>
      </c>
      <c r="B12" s="16" t="s">
        <v>40</v>
      </c>
      <c r="C12" s="17">
        <v>1635491</v>
      </c>
      <c r="D12" s="16" t="s">
        <v>41</v>
      </c>
      <c r="E12" s="16" t="s">
        <v>20</v>
      </c>
      <c r="F12" s="30" t="s">
        <v>21</v>
      </c>
      <c r="G12" s="31">
        <v>0.123</v>
      </c>
      <c r="H12" s="32">
        <f t="shared" si="0"/>
        <v>1.13088442094749</v>
      </c>
      <c r="I12" s="45">
        <v>0.022</v>
      </c>
      <c r="J12" s="46">
        <v>0.2265</v>
      </c>
      <c r="K12" s="47">
        <f t="shared" si="1"/>
        <v>1.2542026098339</v>
      </c>
      <c r="L12" s="17">
        <v>0.4839</v>
      </c>
      <c r="M12" s="17">
        <v>0.0548</v>
      </c>
      <c r="N12" s="57">
        <v>3.546e-5</v>
      </c>
      <c r="O12" s="15">
        <v>0.2087</v>
      </c>
      <c r="P12" s="47">
        <f t="shared" si="2"/>
        <v>1.23207532048518</v>
      </c>
      <c r="Q12" s="17">
        <v>0.0601</v>
      </c>
      <c r="R12" s="56">
        <v>0.0005206</v>
      </c>
      <c r="S12" s="15">
        <v>0.4421</v>
      </c>
      <c r="T12" s="47">
        <f t="shared" si="3"/>
        <v>1.55597132978749</v>
      </c>
      <c r="U12" s="17">
        <v>0.2165</v>
      </c>
      <c r="V12" s="56">
        <v>0.04117</v>
      </c>
      <c r="W12" s="15">
        <v>0.2358</v>
      </c>
      <c r="X12" s="47">
        <f t="shared" si="4"/>
        <v>1.26592110062664</v>
      </c>
      <c r="Y12" s="17">
        <v>0.1679</v>
      </c>
      <c r="Z12" s="56">
        <v>0.1601</v>
      </c>
    </row>
    <row r="13" ht="18" spans="1:26">
      <c r="A13" s="15">
        <v>21</v>
      </c>
      <c r="B13" s="16" t="s">
        <v>42</v>
      </c>
      <c r="C13" s="17">
        <v>33313744</v>
      </c>
      <c r="D13" s="16" t="s">
        <v>43</v>
      </c>
      <c r="E13" s="16" t="s">
        <v>20</v>
      </c>
      <c r="F13" s="30" t="s">
        <v>29</v>
      </c>
      <c r="G13" s="31">
        <v>-0.179</v>
      </c>
      <c r="H13" s="32">
        <f t="shared" si="0"/>
        <v>0.836105899397036</v>
      </c>
      <c r="I13" s="45">
        <v>0.024</v>
      </c>
      <c r="J13" s="46">
        <v>-0.1077</v>
      </c>
      <c r="K13" s="47">
        <f t="shared" si="1"/>
        <v>0.897896925106645</v>
      </c>
      <c r="L13" s="17">
        <v>0.263</v>
      </c>
      <c r="M13" s="17">
        <v>0.0623</v>
      </c>
      <c r="N13" s="56">
        <v>0.08411</v>
      </c>
      <c r="O13" s="15">
        <v>-0.1131</v>
      </c>
      <c r="P13" s="47">
        <f t="shared" si="2"/>
        <v>0.893061349515608</v>
      </c>
      <c r="Q13" s="17">
        <v>0.067</v>
      </c>
      <c r="R13" s="56">
        <v>0.09115</v>
      </c>
      <c r="S13" s="15">
        <v>0.041</v>
      </c>
      <c r="T13" s="47">
        <f t="shared" si="3"/>
        <v>1.04185210554548</v>
      </c>
      <c r="U13" s="17">
        <v>0.3674</v>
      </c>
      <c r="V13" s="56">
        <v>0.9111</v>
      </c>
      <c r="W13" s="15">
        <v>-0.1035</v>
      </c>
      <c r="X13" s="47">
        <f t="shared" si="4"/>
        <v>0.901676022741855</v>
      </c>
      <c r="Y13" s="17">
        <v>0.1928</v>
      </c>
      <c r="Z13" s="56">
        <v>0.5914</v>
      </c>
    </row>
    <row r="14" ht="18.75" spans="1:26">
      <c r="A14" s="18">
        <v>10</v>
      </c>
      <c r="B14" s="19" t="s">
        <v>44</v>
      </c>
      <c r="C14" s="20">
        <v>70618733</v>
      </c>
      <c r="D14" s="19" t="s">
        <v>45</v>
      </c>
      <c r="E14" s="19" t="s">
        <v>20</v>
      </c>
      <c r="F14" s="33" t="s">
        <v>28</v>
      </c>
      <c r="G14" s="34">
        <v>0.338</v>
      </c>
      <c r="H14" s="35">
        <f t="shared" si="0"/>
        <v>1.40214050340532</v>
      </c>
      <c r="I14" s="48">
        <v>0.072</v>
      </c>
      <c r="J14" s="49">
        <v>0.4742</v>
      </c>
      <c r="K14" s="50">
        <f t="shared" si="1"/>
        <v>1.60672830055515</v>
      </c>
      <c r="L14" s="20">
        <v>0.9589</v>
      </c>
      <c r="M14" s="20">
        <v>0.2149</v>
      </c>
      <c r="N14" s="58">
        <v>0.02734</v>
      </c>
      <c r="O14" s="18">
        <v>0.4742</v>
      </c>
      <c r="P14" s="50">
        <f t="shared" si="2"/>
        <v>1.60672830055515</v>
      </c>
      <c r="Q14" s="20">
        <v>0.2149</v>
      </c>
      <c r="R14" s="58">
        <v>0.02734</v>
      </c>
      <c r="S14" s="18" t="s">
        <v>46</v>
      </c>
      <c r="T14" s="50" t="s">
        <v>46</v>
      </c>
      <c r="U14" s="20" t="s">
        <v>46</v>
      </c>
      <c r="V14" s="58" t="s">
        <v>46</v>
      </c>
      <c r="W14" s="18" t="s">
        <v>46</v>
      </c>
      <c r="X14" s="50" t="s">
        <v>46</v>
      </c>
      <c r="Y14" s="20" t="s">
        <v>46</v>
      </c>
      <c r="Z14" s="58" t="s">
        <v>46</v>
      </c>
    </row>
  </sheetData>
  <mergeCells count="13">
    <mergeCell ref="J1:N1"/>
    <mergeCell ref="O1:R1"/>
    <mergeCell ref="S1:V1"/>
    <mergeCell ref="W1:Z1"/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lixinyu</dc:creator>
  <cp:lastModifiedBy>tsundoku</cp:lastModifiedBy>
  <dcterms:created xsi:type="dcterms:W3CDTF">2026-01-15T16:40:00Z</dcterms:created>
  <dcterms:modified xsi:type="dcterms:W3CDTF">2026-01-30T23:21:14Z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F4F5C4545B3EE87C73566769512ED8A7_41</vt:lpwstr>
  </property>
  <property fmtid="{D5CDD505-2E9C-101B-9397-08002B2CF9AE}" pid="3" name="KSOProductBuildVer">
    <vt:lpwstr>2052-7.4.1.8983</vt:lpwstr>
  </property>
</Properties>
</file>